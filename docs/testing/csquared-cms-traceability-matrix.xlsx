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Traceability Matrix" sheetId="2" state="visible" r:id="rId4"/>
    <sheet name="Control Coverag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<sst xmlns="http://schemas.openxmlformats.org/spreadsheetml/2006/main" count="409" uniqueCount="231">
  <si>
    <t xml:space="preserve">CSquared CMS — Requirements Traceability Matrix</t>
  </si>
  <si>
    <t xml:space="preserve">Security &amp; ISO 27001:2022 verification coverage — v1.0 — derived from PRD v1.0 (May 2026)</t>
  </si>
  <si>
    <t xml:space="preserve">What this is</t>
  </si>
  <si>
    <t xml:space="preserve">A living record mapping every traceable requirement in the CMS PRD to the ISO 27001:2022 Annex A control it satisfies and the test(s) that verify it. Its job is to answer one auditor question instantly: "Show me this control is tested, and prove the test passed."</t>
  </si>
  <si>
    <t xml:space="preserve">How to use it</t>
  </si>
  <si>
    <t xml:space="preserve">The left columns (Req ID through ISO Control + Priority) are pre-filled from the PRD — that analytical work is done. Your team owns the right columns: enter Test ID(s) as you write each test, set Status from the dropdown, and link the evidence (CI run URL, report, screenshot). Update Last Run + Result each cycle, ideally fed semi-automatically from CI output.</t>
  </si>
  <si>
    <t xml:space="preserve">Status values</t>
  </si>
  <si>
    <t xml:space="preserve">Not Started → no test exists yet (this is a coverage GAP — every such row on a Critical/High requirement is a control you claim but cannot prove). Planned → test designed, not written. Automated → covered by a gated CI test. Passing / Failing → latest result. Manual → verified by a recurring human procedure (e.g. pen test, restore drill).</t>
  </si>
  <si>
    <t xml:space="preserve">Priority tiers</t>
  </si>
  <si>
    <t xml:space="preserve">Critical = a single defect is simultaneously a security incident AND a certification failure (tenant isolation, audit immutability, segregation of duties, API-layer RBAC). Gate these hardest; no merge while red. High = core control integrity. Medium = important but lower blast radius.</t>
  </si>
  <si>
    <t xml:space="preserve">For the auditor</t>
  </si>
  <si>
    <t xml:space="preserve">Point them at the 'Control Coverage' tab for the one-page rollup, then drill into 'Traceability Matrix' for any control. Any 'Not Started' / 'Failing' row is an honest, visible gap — that transparency is itself evidence of a functioning verification process (A.8.29, A.5.36).</t>
  </si>
  <si>
    <t xml:space="preserve">Maintenance</t>
  </si>
  <si>
    <t xml:space="preserve">This is not a one-time document. Review it at every release sign-off: a named person confirms all Critical + High rows are Passing/Automated/Manual and dates the sign-off. That dated, attributed review is the artifact an ISO auditor values most.</t>
  </si>
  <si>
    <t xml:space="preserve">Control reference</t>
  </si>
  <si>
    <t xml:space="preserve">Mappings use ISO/IEC 27001:2022 Annex A control numbers. A.8.32 (change management) and A.5.3 (segregation of duties) are the spine of the certification case this system supports; the original gap was control A.12.1.2 from the 2013 edition, which maps to A.8.32 in the 2022 revision.</t>
  </si>
  <si>
    <t xml:space="preserve">Req ID</t>
  </si>
  <si>
    <t xml:space="preserve">PRD Section</t>
  </si>
  <si>
    <t xml:space="preserve">Requirement</t>
  </si>
  <si>
    <t xml:space="preserve">Verification Intent (what the test must prove)</t>
  </si>
  <si>
    <t xml:space="preserve">ISO 27001:2022 Control</t>
  </si>
  <si>
    <t xml:space="preserve">Priority</t>
  </si>
  <si>
    <t xml:space="preserve">Test Type</t>
  </si>
  <si>
    <t xml:space="preserve">Test ID(s)</t>
  </si>
  <si>
    <t xml:space="preserve">Status</t>
  </si>
  <si>
    <t xml:space="preserve">Last Run</t>
  </si>
  <si>
    <t xml:space="preserve">Result / Notes</t>
  </si>
  <si>
    <t xml:space="preserve">Evidence Link</t>
  </si>
  <si>
    <t xml:space="preserve">SEC-01</t>
  </si>
  <si>
    <t xml:space="preserve">§4, §11</t>
  </si>
  <si>
    <t xml:space="preserve">Zero cross-OpCo data leakage — isolation enforced in Prisma query layer</t>
  </si>
  <si>
    <t xml:space="preserve">For every resource (changes, audit, attachments, users, teams, blackouts, KPIs) and every read+mutation endpoint, an OpCo-scoped user can never read, list, or mutate another OpCo's data — incl. by ID, crafted filters, or pagination.</t>
  </si>
  <si>
    <t xml:space="preserve">A.8.3</t>
  </si>
  <si>
    <t xml:space="preserve">Critical</t>
  </si>
  <si>
    <t xml:space="preserve">Integration/Authz</t>
  </si>
  <si>
    <t xml:space="preserve">Not Started</t>
  </si>
  <si>
    <t xml:space="preserve">SEC-02</t>
  </si>
  <si>
    <t xml:space="preserve">§4, §6</t>
  </si>
  <si>
    <t xml:space="preserve">Multi-OpCo user sees exactly their assigned OpCos and no more</t>
  </si>
  <si>
    <t xml:space="preserve">Alice (approver-Ghana, auditor-Uganda) sees both and only both. Catches over-broad parsing of the 'organizations' JWT claim.</t>
  </si>
  <si>
    <t xml:space="preserve">Authz</t>
  </si>
  <si>
    <t xml:space="preserve">SEC-03</t>
  </si>
  <si>
    <t xml:space="preserve">§4, §10</t>
  </si>
  <si>
    <t xml:space="preserve">Insecure direct object reference (IDOR) on cross-OpCo IDs rejected</t>
  </si>
  <si>
    <t xml:space="preserve">A valid foreign-OpCo change ID submitted to any action endpoint returns 403/404, never the resource and never an existence-confirming response.</t>
  </si>
  <si>
    <t xml:space="preserve">SEC-04</t>
  </si>
  <si>
    <t xml:space="preserve">§6</t>
  </si>
  <si>
    <t xml:space="preserve">OpCo transfer revokes access but preserves historical attribution</t>
  </si>
  <si>
    <t xml:space="preserve">After endedAt set + isActive=false on old assignment, no new access via old OpCo; historical records remain attributable to the user.</t>
  </si>
  <si>
    <t xml:space="preserve">A.5.18</t>
  </si>
  <si>
    <t xml:space="preserve">High</t>
  </si>
  <si>
    <t xml:space="preserve">Integration</t>
  </si>
  <si>
    <t xml:space="preserve">AUD-01</t>
  </si>
  <si>
    <t xml:space="preserve">§10, §11</t>
  </si>
  <si>
    <t xml:space="preserve">Audit log is append-only (no UPDATE/DELETE)</t>
  </si>
  <si>
    <t xml:space="preserve">Every API/DB path attempting to update or delete an AuditLog row fails. RECOMMEND: add DB trigger enforcement + test the trigger fires (converts 'by convention' into evidenced technical control).</t>
  </si>
  <si>
    <t xml:space="preserve">A.8.15</t>
  </si>
  <si>
    <t xml:space="preserve">AUD-02</t>
  </si>
  <si>
    <t xml:space="preserve">§8</t>
  </si>
  <si>
    <t xml:space="preserve">Every state transition writes exactly one correct audit row</t>
  </si>
  <si>
    <t xml:space="preserve">Each transition produces one AuditLog row with correct actorId, from/toStatus, timestamp, and metadata (IP, user agent, delegation context).</t>
  </si>
  <si>
    <t xml:space="preserve">AUD-03</t>
  </si>
  <si>
    <t xml:space="preserve">§11</t>
  </si>
  <si>
    <t xml:space="preserve">DELETE/UPDATE on AuditLog table raises monitoring alert</t>
  </si>
  <si>
    <t xml:space="preserve">Alerting fires on any UPDATE/DELETE attempt against the AuditLog table (defence-in-depth detective control).</t>
  </si>
  <si>
    <t xml:space="preserve">A.8.16</t>
  </si>
  <si>
    <t xml:space="preserve">Integration/Manual</t>
  </si>
  <si>
    <t xml:space="preserve">AUD-04</t>
  </si>
  <si>
    <t xml:space="preserve">Audit viewer filters return only in-scope records</t>
  </si>
  <si>
    <t xml:space="preserve">Date/OpCo/status/risk/category/actor filters and full-text search never surface out-of-scope OpCo records.</t>
  </si>
  <si>
    <t xml:space="preserve">AUD-05</t>
  </si>
  <si>
    <t xml:space="preserve">§8, §11</t>
  </si>
  <si>
    <t xml:space="preserve">Audit evidence export (CSV ≤10k rows; PDF package) complete &amp; scoped</t>
  </si>
  <si>
    <t xml:space="preserve">CSV/PDF export contains complete change record + all approvals + full transition trail, scoped to the exporter's accessible OpCos.</t>
  </si>
  <si>
    <t xml:space="preserve">A.5.28</t>
  </si>
  <si>
    <t xml:space="preserve">Integration/E2E</t>
  </si>
  <si>
    <t xml:space="preserve">RBAC-01</t>
  </si>
  <si>
    <t xml:space="preserve">§5, §7</t>
  </si>
  <si>
    <t xml:space="preserve">No self-approval — segregation of duties</t>
  </si>
  <si>
    <t xml:space="preserve">Requester cannot approve own change via API directly (not just UI). Server compares change.requesterId to session.userId on every approval action.</t>
  </si>
  <si>
    <t xml:space="preserve">A.5.3</t>
  </si>
  <si>
    <t xml:space="preserve">RBAC-02</t>
  </si>
  <si>
    <t xml:space="preserve">§5</t>
  </si>
  <si>
    <t xml:space="preserve">RBAC matrix enforced at API layer for all (role × action × resource)</t>
  </si>
  <si>
    <t xml:space="preserve">Encode the PRD permission matrix as a table-driven oracle; assert every allow/deny combination at the API. UI hiding is not relied upon.</t>
  </si>
  <si>
    <t xml:space="preserve">A.8.2</t>
  </si>
  <si>
    <t xml:space="preserve">RBAC-03</t>
  </si>
  <si>
    <t xml:space="preserve">§7</t>
  </si>
  <si>
    <t xml:space="preserve">Delegated approver cannot approve a change they themselves submitted</t>
  </si>
  <si>
    <t xml:space="preserve">If A delegates to B and B is the requester, B's approval under delegation is rejected — SoD holds regardless of delegation path.</t>
  </si>
  <si>
    <t xml:space="preserve">RBAC-04</t>
  </si>
  <si>
    <t xml:space="preserve">UI enforcement is secondary only — server is source of truth</t>
  </si>
  <si>
    <t xml:space="preserve">Actions hidden in UI still rejected when invoked directly against the API by an unauthorised role.</t>
  </si>
  <si>
    <t xml:space="preserve">CHG-01</t>
  </si>
  <si>
    <t xml:space="preserve">CAB quorum: high-risk needs ≥2 CAB approvals to reach 'approved'</t>
  </si>
  <si>
    <t xml:space="preserve">1 CAB approval cannot transition pending→approved; 2 can; non-CAB (isCab=false) approvals do not count toward quorum.</t>
  </si>
  <si>
    <t xml:space="preserve">A.8.32</t>
  </si>
  <si>
    <t xml:space="preserve">CHG-02</t>
  </si>
  <si>
    <t xml:space="preserve">Emergency change path: single high-authority approver, bypasses quorum</t>
  </si>
  <si>
    <t xml:space="preserve">Emergency requires exactly CAB Chair or Group Admin, bypasses the 2-member quorum, routes correctly, fires immediate alert.</t>
  </si>
  <si>
    <t xml:space="preserve">CHG-03</t>
  </si>
  <si>
    <t xml:space="preserve">Status lifecycle: illegal transitions rejected</t>
  </si>
  <si>
    <t xml:space="preserve">State machine draft→pending→approved/rejected→implemented→verified→closed enforced; illegal jumps (e.g. draft→approved, closed→pending) rejected.</t>
  </si>
  <si>
    <t xml:space="preserve">Unit/Integration</t>
  </si>
  <si>
    <t xml:space="preserve">CHG-04</t>
  </si>
  <si>
    <t xml:space="preserve">Blackout: standard change hard-blocked with end-date in error</t>
  </si>
  <si>
    <t xml:space="preserve">Standard submission during active blackout rejected with clear error stating the blackout and its end date. Boundary cases at window edges.</t>
  </si>
  <si>
    <t xml:space="preserve">CHG-05</t>
  </si>
  <si>
    <t xml:space="preserve">Blackout: emergency override allowed and routed to CAB Chair</t>
  </si>
  <si>
    <t xml:space="preserve">Emergency flag during blackout bypasses block, routes to CAB Chair, sends alert. Group-wide vs per-OpCo blackout scoping correct.</t>
  </si>
  <si>
    <t xml:space="preserve">CHG-06</t>
  </si>
  <si>
    <t xml:space="preserve">Mandatory rejection comment enforced at API</t>
  </si>
  <si>
    <t xml:space="preserve">Approval rejection without a comment returns 400; change returns to draft; requester notified with the comment.</t>
  </si>
  <si>
    <t xml:space="preserve">Medium</t>
  </si>
  <si>
    <t xml:space="preserve">CHG-07</t>
  </si>
  <si>
    <t xml:space="preserve">SLA breach auto-escalates (OpCo Admin → Group Admin) and is logged</t>
  </si>
  <si>
    <t xml:space="preserve">On SLA breach, escalation fires to OpCo Admin, then Group Admin after a further 50% of SLA; all escalations audited + emailed.</t>
  </si>
  <si>
    <t xml:space="preserve">CHG-08</t>
  </si>
  <si>
    <t xml:space="preserve">§7, §8</t>
  </si>
  <si>
    <t xml:space="preserve">Risk-based approver routing assigns correct approvers per matrix</t>
  </si>
  <si>
    <t xml:space="preserve">System auto-assigns approvers by risk level + OpCo approver matrix; explicit named approvers honoured.</t>
  </si>
  <si>
    <t xml:space="preserve">AUTH-01</t>
  </si>
  <si>
    <t xml:space="preserve">Only @csquared.com identities admitted</t>
  </si>
  <si>
    <t xml:space="preserve">Token/identity for any non-@csquared.com domain is rejected at sign-in; no email/password workaround in production.</t>
  </si>
  <si>
    <t xml:space="preserve">A.8.5</t>
  </si>
  <si>
    <t xml:space="preserve">AUTH-02</t>
  </si>
  <si>
    <t xml:space="preserve">8-hour inactivity session expiry enforced</t>
  </si>
  <si>
    <t xml:space="preserve">Request on an expired/idle-beyond-8h session is rejected and requires re-auth.</t>
  </si>
  <si>
    <t xml:space="preserve">AUTH-03</t>
  </si>
  <si>
    <t xml:space="preserve">Offboarded user's active session is dead on next request</t>
  </si>
  <si>
    <t xml:space="preserve">After Keycloak disable, the user's existing session cannot perform any action on its next request (verify immediate revocation claim).</t>
  </si>
  <si>
    <t xml:space="preserve">AUTH-04</t>
  </si>
  <si>
    <t xml:space="preserve">§8, §9</t>
  </si>
  <si>
    <t xml:space="preserve">Tampered/forged JWT rejected; claims cannot escalate privilege</t>
  </si>
  <si>
    <t xml:space="preserve">JWT with altered 'organizations'/role claims or broken signature is rejected; valid-signature role claims still bounded by server-side checks.</t>
  </si>
  <si>
    <t xml:space="preserve">AUTH-05</t>
  </si>
  <si>
    <t xml:space="preserve">MFA policy enforced per Keycloak realm config</t>
  </si>
  <si>
    <t xml:space="preserve">MFA challenge applied per realm policy via Google Workspace provider.</t>
  </si>
  <si>
    <t xml:space="preserve">Manual/E2E</t>
  </si>
  <si>
    <t xml:space="preserve">AUTH-06</t>
  </si>
  <si>
    <t xml:space="preserve">Pending approvals re-routed on approver deactivation</t>
  </si>
  <si>
    <t xml:space="preserve">Deactivating an approver re-routes their pending approvals to OpCo Admin / next available approver; no orphaned approvals.</t>
  </si>
  <si>
    <t xml:space="preserve">DAT-01</t>
  </si>
  <si>
    <t xml:space="preserve">§10</t>
  </si>
  <si>
    <t xml:space="preserve">Attachments accessible only via signed URLs; storageKey never exposed</t>
  </si>
  <si>
    <t xml:space="preserve">API never returns raw storageKey; download/upload only via short-lived presigned URLs; files do not proxy through the app server.</t>
  </si>
  <si>
    <t xml:space="preserve">DAT-02</t>
  </si>
  <si>
    <t xml:space="preserve">Uploaded file validation (type/size) and safe handling</t>
  </si>
  <si>
    <t xml:space="preserve">MIME/size validated; oversized or disallowed types rejected; no path traversal in filename handling.</t>
  </si>
  <si>
    <t xml:space="preserve">A.8.26</t>
  </si>
  <si>
    <t xml:space="preserve">DAT-03</t>
  </si>
  <si>
    <t xml:space="preserve">No PII / production data in test fixtures or non-prod environments</t>
  </si>
  <si>
    <t xml:space="preserve">Seed data is synthetic; no real PII; non-prod environments hold no production records.</t>
  </si>
  <si>
    <t xml:space="preserve">A.8.10</t>
  </si>
  <si>
    <t xml:space="preserve">Manual</t>
  </si>
  <si>
    <t xml:space="preserve">SDLC-01</t>
  </si>
  <si>
    <t xml:space="preserve">No secrets in source code; secret scanning in pipeline</t>
  </si>
  <si>
    <t xml:space="preserve">Pre-commit + CI secret scan (gitleaks) blocks any secret entering history; secrets only via deployment secret store.</t>
  </si>
  <si>
    <t xml:space="preserve">A.8.24</t>
  </si>
  <si>
    <t xml:space="preserve">Static/CI</t>
  </si>
  <si>
    <t xml:space="preserve">SDLC-02</t>
  </si>
  <si>
    <t xml:space="preserve">§9</t>
  </si>
  <si>
    <t xml:space="preserve">Dependency vulnerability scanning gates the build</t>
  </si>
  <si>
    <t xml:space="preserve">CI fails on high/critical CVEs (npm audit / Snyk / Dependabot); SBOM generated per release.</t>
  </si>
  <si>
    <t xml:space="preserve">A.8.8</t>
  </si>
  <si>
    <t xml:space="preserve">SDLC-03</t>
  </si>
  <si>
    <t xml:space="preserve">Static analysis (type-check, security lint) gates every PR</t>
  </si>
  <si>
    <t xml:space="preserve">tsc --noEmit + ESLint security rules run and block merge on every PR.</t>
  </si>
  <si>
    <t xml:space="preserve">A.8.28</t>
  </si>
  <si>
    <t xml:space="preserve">SDLC-04</t>
  </si>
  <si>
    <t xml:space="preserve">N/A</t>
  </si>
  <si>
    <t xml:space="preserve">Security-critical test suite is a hard merge gate</t>
  </si>
  <si>
    <t xml:space="preserve">Isolation + RBAC + SoD + audit suites run on every PR and block merge while red; CI run retained as evidence.</t>
  </si>
  <si>
    <t xml:space="preserve">A.8.29</t>
  </si>
  <si>
    <t xml:space="preserve">CI</t>
  </si>
  <si>
    <t xml:space="preserve">SDLC-05</t>
  </si>
  <si>
    <t xml:space="preserve">DAST baseline scan runs against deployed preview</t>
  </si>
  <si>
    <t xml:space="preserve">OWASP ZAP baseline scan runs nightly/pre-release against a deployed environment; findings tracked to closure.</t>
  </si>
  <si>
    <t xml:space="preserve">DAST</t>
  </si>
  <si>
    <t xml:space="preserve">SDLC-06</t>
  </si>
  <si>
    <t xml:space="preserve">PR review checklist covers OpCo filter + role assertion</t>
  </si>
  <si>
    <t xml:space="preserve">Required reviewer checklist: any new Prisma query includes OpCo filter; any new route asserts role. Template kept in repo.</t>
  </si>
  <si>
    <t xml:space="preserve">A.8.25</t>
  </si>
  <si>
    <t xml:space="preserve">SDLC-07</t>
  </si>
  <si>
    <t xml:space="preserve">Periodic penetration test focused on tenancy + authz</t>
  </si>
  <si>
    <t xml:space="preserve">Quarterly / pre-cert pen test targeting multi-tenancy boundary and authorization; findings in vulnerability register.</t>
  </si>
  <si>
    <t xml:space="preserve">NFR-01</t>
  </si>
  <si>
    <t xml:space="preserve">Approve/reject mutation server response &lt; 500ms</t>
  </si>
  <si>
    <t xml:space="preserve">Load test at expected concurrency confirms p95 server response under 500ms for approve/reject.</t>
  </si>
  <si>
    <t xml:space="preserve">A.8.6</t>
  </si>
  <si>
    <t xml:space="preserve">Performance</t>
  </si>
  <si>
    <t xml:space="preserve">NFR-02</t>
  </si>
  <si>
    <t xml:space="preserve">Page load &lt; 2s; audit CSV export of 10k rows &lt; 10s</t>
  </si>
  <si>
    <t xml:space="preserve">Verify client-side CSV generation of a realistic 10k dataset meets &lt;10s on mid-range hardware without freezing the tab — flag if it exceeds.</t>
  </si>
  <si>
    <t xml:space="preserve">NFR-03</t>
  </si>
  <si>
    <t xml:space="preserve">WCAG 2.1 AA conformance on all user-facing pages</t>
  </si>
  <si>
    <t xml:space="preserve">axe-core/Lighthouse in CI + manual screen-reader pass on submit/approve/reject flows.</t>
  </si>
  <si>
    <t xml:space="preserve">A11y</t>
  </si>
  <si>
    <t xml:space="preserve">NFR-04</t>
  </si>
  <si>
    <t xml:space="preserve">French localization complete for DRC &amp; Togo flows</t>
  </si>
  <si>
    <t xml:space="preserve">No untranslated keys, no layout breakage on approval/rejection flows in French.</t>
  </si>
  <si>
    <t xml:space="preserve">E2E/Manual</t>
  </si>
  <si>
    <t xml:space="preserve">NFR-05</t>
  </si>
  <si>
    <t xml:space="preserve">Backup/restore drill meets RTO 4h / RPO 24h</t>
  </si>
  <si>
    <t xml:space="preserve">Exercise a real restore from daily PostgreSQL backup before certification; record timing against RTO/RPO targets.</t>
  </si>
  <si>
    <t xml:space="preserve">A.8.13</t>
  </si>
  <si>
    <t xml:space="preserve">NFR-06</t>
  </si>
  <si>
    <t xml:space="preserve">Transport security: HTTPS only, HSTS enforced</t>
  </si>
  <si>
    <t xml:space="preserve">All endpoints HTTPS-only; HSTS header present; no plaintext fallback.</t>
  </si>
  <si>
    <t xml:space="preserve">A.8.20</t>
  </si>
  <si>
    <t xml:space="preserve">DAST/Integration</t>
  </si>
  <si>
    <t xml:space="preserve">NOT-01</t>
  </si>
  <si>
    <t xml:space="preserve">Transactional emails fire for each defined event</t>
  </si>
  <si>
    <t xml:space="preserve">Submitted/approved/rejected/SLA-breach/emergency/status-change emails fire to the correct recipients with correct content.</t>
  </si>
  <si>
    <t xml:space="preserve">NOT-02</t>
  </si>
  <si>
    <t xml:space="preserve">Slack webhook per OpCo respects OpCo scoping</t>
  </si>
  <si>
    <t xml:space="preserve">Per-OpCo webhook only receives that OpCo's events; no cross-OpCo leakage via notifications.</t>
  </si>
  <si>
    <t xml:space="preserve">Control Coverage Summary</t>
  </si>
  <si>
    <t xml:space="preserve">Live counts driven by the Traceability Matrix. Target: every Critical &amp; High row Passing / Automated / Manual before certification sign-off.</t>
  </si>
  <si>
    <t xml:space="preserve">Count</t>
  </si>
  <si>
    <t xml:space="preserve">Planned</t>
  </si>
  <si>
    <t xml:space="preserve">Automated</t>
  </si>
  <si>
    <t xml:space="preserve">Passing</t>
  </si>
  <si>
    <t xml:space="preserve">Failing</t>
  </si>
  <si>
    <t xml:space="preserve">Total requirements</t>
  </si>
  <si>
    <t xml:space="preserve">Readiness by Priority</t>
  </si>
  <si>
    <t xml:space="preserve">Total</t>
  </si>
  <si>
    <t xml:space="preserve">Verified*</t>
  </si>
  <si>
    <t xml:space="preserve">Open</t>
  </si>
  <si>
    <t xml:space="preserve">% Verified</t>
  </si>
  <si>
    <t xml:space="preserve">*Verified = Status is Passing, Automated, or Manual.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</si>
</sst>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F1F3D"/>
      <name val="Arial"/>
      <family val="0"/>
      <charset val="1"/>
    </font>
    <font>
      <i val="true"/>
      <sz val="10"/>
      <color rgb="FF374151"/>
      <name val="Arial"/>
      <family val="0"/>
      <charset val="1"/>
    </font>
    <font>
      <b val="true"/>
      <sz val="11"/>
      <color rgb="FF1D4ED8"/>
      <name val="Arial"/>
      <family val="0"/>
      <charset val="1"/>
    </font>
    <font>
      <sz val="10"/>
      <color rgb="FF11182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111827"/>
      <name val="Arial"/>
      <family val="0"/>
      <charset val="1"/>
    </font>
    <font>
      <sz val="9"/>
      <color rgb="FF111827"/>
      <name val="Arial"/>
      <family val="0"/>
      <charset val="1"/>
    </font>
    <font>
      <sz val="8"/>
      <color rgb="FF111827"/>
      <name val="Arial"/>
      <family val="0"/>
      <charset val="1"/>
    </font>
    <font>
      <b val="true"/>
      <sz val="9"/>
      <color rgb="FFB91C1C"/>
      <name val="Arial"/>
      <family val="0"/>
      <charset val="1"/>
    </font>
    <font>
      <b val="true"/>
      <sz val="9"/>
      <color rgb="FF92400E"/>
      <name val="Arial"/>
      <family val="0"/>
      <charset val="1"/>
    </font>
    <font>
      <b val="true"/>
      <sz val="9"/>
      <color rgb="FF166534"/>
      <name val="Arial"/>
      <family val="0"/>
      <charset val="1"/>
    </font>
    <font>
      <b val="true"/>
      <sz val="14"/>
      <color rgb="FF0F1F3D"/>
      <name val="Arial"/>
      <family val="0"/>
      <charset val="1"/>
    </font>
    <font>
      <i val="true"/>
      <sz val="9"/>
      <color rgb="FF374151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1D4ED8"/>
      <name val="Arial"/>
      <family val="0"/>
      <charset val="1"/>
    </font>
    <font>
      <sz val="10"/>
      <name val="Arial"/>
      <family val="0"/>
      <charset val="1"/>
    </font>
    <font>
      <i val="true"/>
      <sz val="8"/>
      <color rgb="FF374151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0F1F3D"/>
        <bgColor rgb="FF111827"/>
      </patternFill>
    </fill>
    <fill>
      <patternFill patternType="solid">
        <fgColor rgb="FFF9FAFB"/>
        <bgColor rgb="FFFFFFFF"/>
      </patternFill>
    </fill>
    <fill>
      <patternFill patternType="solid">
        <fgColor rgb="FFFEE2E2"/>
        <bgColor rgb="FFFEF3C7"/>
      </patternFill>
    </fill>
    <fill>
      <patternFill patternType="solid">
        <fgColor rgb="FFFFFFFF"/>
        <bgColor rgb="FFF9FAFB"/>
      </patternFill>
    </fill>
    <fill>
      <patternFill patternType="solid">
        <fgColor rgb="FFFEF3C7"/>
        <bgColor rgb="FFFEE2E2"/>
      </patternFill>
    </fill>
    <fill>
      <patternFill patternType="solid">
        <fgColor rgb="FFDCFCE7"/>
        <bgColor rgb="FFF3F4F6"/>
      </patternFill>
    </fill>
    <fill>
      <patternFill patternType="solid">
        <fgColor rgb="FF374151"/>
        <bgColor rgb="FF333399"/>
      </patternFill>
    </fill>
    <fill>
      <patternFill patternType="solid">
        <fgColor rgb="FFF3F4F6"/>
        <bgColor rgb="FFF9FA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66534"/>
      <rgbColor rgb="FF000080"/>
      <rgbColor rgb="FF808000"/>
      <rgbColor rgb="FF800080"/>
      <rgbColor rgb="FF008080"/>
      <rgbColor rgb="FFC0C0C0"/>
      <rgbColor rgb="FF808080"/>
      <rgbColor rgb="FF9999FF"/>
      <rgbColor rgb="FFB91C1C"/>
      <rgbColor rgb="FFFEF3C7"/>
      <rgbColor rgb="FFDCFCE7"/>
      <rgbColor rgb="FF660066"/>
      <rgbColor rgb="FFFF8080"/>
      <rgbColor rgb="FF1D4ED8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F9FAFB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F1F3D"/>
      <rgbColor rgb="FF339966"/>
      <rgbColor rgb="FF111827"/>
      <rgbColor rgb="FF333300"/>
      <rgbColor rgb="FF92400E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95"/>
  </cols>
  <sheetData>
    <row r="2" customFormat="false" ht="19.7" hidden="false" customHeight="false" outlineLevel="0" collapsed="false">
      <c r="B2" s="1" t="s">
        <v>0</v>
      </c>
      <c r="C2" s="1"/>
    </row>
    <row r="3" customFormat="false" ht="15" hidden="false" customHeight="false" outlineLevel="0" collapsed="false">
      <c r="B3" s="2" t="s">
        <v>1</v>
      </c>
      <c r="C3" s="2"/>
    </row>
    <row r="5" customFormat="false" ht="35.05" hidden="false" customHeight="false" outlineLevel="0" collapsed="false">
      <c r="B5" s="3" t="s">
        <v>2</v>
      </c>
      <c r="C5" s="4" t="s">
        <v>3</v>
      </c>
    </row>
    <row r="7" customFormat="false" ht="46.25" hidden="false" customHeight="false" outlineLevel="0" collapsed="false">
      <c r="B7" s="3" t="s">
        <v>4</v>
      </c>
      <c r="C7" s="4" t="s">
        <v>5</v>
      </c>
    </row>
    <row r="9" customFormat="false" ht="35.05" hidden="false" customHeight="false" outlineLevel="0" collapsed="false">
      <c r="B9" s="3" t="s">
        <v>6</v>
      </c>
      <c r="C9" s="4" t="s">
        <v>7</v>
      </c>
    </row>
    <row r="11" customFormat="false" ht="35.05" hidden="false" customHeight="false" outlineLevel="0" collapsed="false">
      <c r="B11" s="3" t="s">
        <v>8</v>
      </c>
      <c r="C11" s="4" t="s">
        <v>9</v>
      </c>
    </row>
    <row r="13" customFormat="false" ht="35.05" hidden="false" customHeight="false" outlineLevel="0" collapsed="false">
      <c r="B13" s="3" t="s">
        <v>10</v>
      </c>
      <c r="C13" s="4" t="s">
        <v>11</v>
      </c>
    </row>
    <row r="15" customFormat="false" ht="35.05" hidden="false" customHeight="false" outlineLevel="0" collapsed="false">
      <c r="B15" s="3" t="s">
        <v>12</v>
      </c>
      <c r="C15" s="4" t="s">
        <v>13</v>
      </c>
    </row>
    <row r="17" customFormat="false" ht="35.05" hidden="false" customHeight="false" outlineLevel="0" collapsed="false">
      <c r="B17" s="3" t="s">
        <v>14</v>
      </c>
      <c r="C17" s="4" t="s">
        <v>15</v>
      </c>
    </row>
  </sheetData>
  <mergeCells count="2">
    <mergeCell ref="B2:C2"/>
    <mergeCell ref="B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40"/>
    <col collapsed="false" customWidth="true" hidden="false" outlineLevel="0" max="4" min="4" style="0" width="50"/>
    <col collapsed="false" customWidth="true" hidden="false" outlineLevel="0" max="5" min="5" style="0" width="16"/>
    <col collapsed="false" customWidth="true" hidden="false" outlineLevel="0" max="6" min="6" style="0" width="10"/>
    <col collapsed="false" customWidth="true" hidden="false" outlineLevel="0" max="7" min="7" style="0" width="15"/>
    <col collapsed="false" customWidth="true" hidden="false" outlineLevel="0" max="8" min="8" style="0" width="16"/>
    <col collapsed="false" customWidth="true" hidden="false" outlineLevel="0" max="9" min="9" style="0" width="13"/>
    <col collapsed="false" customWidth="true" hidden="false" outlineLevel="0" max="10" min="10" style="0" width="11"/>
    <col collapsed="false" customWidth="true" hidden="false" outlineLevel="0" max="12" min="11" style="0" width="22"/>
  </cols>
  <sheetData>
    <row r="1" customFormat="false" ht="30" hidden="false" customHeight="true" outlineLevel="0" collapsed="false">
      <c r="A1" s="5" t="s">
        <v>16</v>
      </c>
      <c r="B1" s="5" t="s">
        <v>17</v>
      </c>
      <c r="C1" s="5" t="s">
        <v>18</v>
      </c>
      <c r="D1" s="5" t="s">
        <v>19</v>
      </c>
      <c r="E1" s="5" t="s">
        <v>20</v>
      </c>
      <c r="F1" s="5" t="s">
        <v>21</v>
      </c>
      <c r="G1" s="5" t="s">
        <v>22</v>
      </c>
      <c r="H1" s="5" t="s">
        <v>23</v>
      </c>
      <c r="I1" s="5" t="s">
        <v>24</v>
      </c>
      <c r="J1" s="5" t="s">
        <v>25</v>
      </c>
      <c r="K1" s="5" t="s">
        <v>26</v>
      </c>
      <c r="L1" s="5" t="s">
        <v>27</v>
      </c>
    </row>
    <row r="2" customFormat="false" ht="37.3" hidden="false" customHeight="false" outlineLevel="0" collapsed="false">
      <c r="A2" s="6" t="s">
        <v>28</v>
      </c>
      <c r="B2" s="7" t="s">
        <v>29</v>
      </c>
      <c r="C2" s="7" t="s">
        <v>30</v>
      </c>
      <c r="D2" s="8" t="s">
        <v>31</v>
      </c>
      <c r="E2" s="9" t="s">
        <v>32</v>
      </c>
      <c r="F2" s="10" t="s">
        <v>33</v>
      </c>
      <c r="G2" s="11" t="s">
        <v>34</v>
      </c>
      <c r="H2" s="12"/>
      <c r="I2" s="13" t="s">
        <v>35</v>
      </c>
      <c r="J2" s="13"/>
      <c r="K2" s="12"/>
      <c r="L2" s="12"/>
    </row>
    <row r="3" customFormat="false" ht="22.35" hidden="false" customHeight="false" outlineLevel="0" collapsed="false">
      <c r="A3" s="14" t="s">
        <v>36</v>
      </c>
      <c r="B3" s="12" t="s">
        <v>37</v>
      </c>
      <c r="C3" s="12" t="s">
        <v>38</v>
      </c>
      <c r="D3" s="15" t="s">
        <v>39</v>
      </c>
      <c r="E3" s="16" t="s">
        <v>32</v>
      </c>
      <c r="F3" s="10" t="s">
        <v>33</v>
      </c>
      <c r="G3" s="13" t="s">
        <v>40</v>
      </c>
      <c r="H3" s="12"/>
      <c r="I3" s="13" t="s">
        <v>35</v>
      </c>
      <c r="J3" s="13"/>
      <c r="K3" s="12"/>
      <c r="L3" s="12"/>
    </row>
    <row r="4" customFormat="false" ht="28.35" hidden="false" customHeight="false" outlineLevel="0" collapsed="false">
      <c r="A4" s="6" t="s">
        <v>41</v>
      </c>
      <c r="B4" s="7" t="s">
        <v>42</v>
      </c>
      <c r="C4" s="7" t="s">
        <v>43</v>
      </c>
      <c r="D4" s="8" t="s">
        <v>44</v>
      </c>
      <c r="E4" s="9" t="s">
        <v>32</v>
      </c>
      <c r="F4" s="10" t="s">
        <v>33</v>
      </c>
      <c r="G4" s="11" t="s">
        <v>34</v>
      </c>
      <c r="H4" s="12"/>
      <c r="I4" s="13" t="s">
        <v>35</v>
      </c>
      <c r="J4" s="13"/>
      <c r="K4" s="12"/>
      <c r="L4" s="12"/>
    </row>
    <row r="5" customFormat="false" ht="22.35" hidden="false" customHeight="false" outlineLevel="0" collapsed="false">
      <c r="A5" s="14" t="s">
        <v>45</v>
      </c>
      <c r="B5" s="12" t="s">
        <v>46</v>
      </c>
      <c r="C5" s="12" t="s">
        <v>47</v>
      </c>
      <c r="D5" s="15" t="s">
        <v>48</v>
      </c>
      <c r="E5" s="16" t="s">
        <v>49</v>
      </c>
      <c r="F5" s="17" t="s">
        <v>50</v>
      </c>
      <c r="G5" s="13" t="s">
        <v>51</v>
      </c>
      <c r="H5" s="12"/>
      <c r="I5" s="13" t="s">
        <v>35</v>
      </c>
      <c r="J5" s="13"/>
      <c r="K5" s="12"/>
      <c r="L5" s="12"/>
    </row>
    <row r="6" customFormat="false" ht="28.35" hidden="false" customHeight="false" outlineLevel="0" collapsed="false">
      <c r="A6" s="6" t="s">
        <v>52</v>
      </c>
      <c r="B6" s="7" t="s">
        <v>53</v>
      </c>
      <c r="C6" s="7" t="s">
        <v>54</v>
      </c>
      <c r="D6" s="8" t="s">
        <v>55</v>
      </c>
      <c r="E6" s="9" t="s">
        <v>56</v>
      </c>
      <c r="F6" s="10" t="s">
        <v>33</v>
      </c>
      <c r="G6" s="11" t="s">
        <v>51</v>
      </c>
      <c r="H6" s="12"/>
      <c r="I6" s="13" t="s">
        <v>35</v>
      </c>
      <c r="J6" s="13"/>
      <c r="K6" s="12"/>
      <c r="L6" s="12"/>
    </row>
    <row r="7" customFormat="false" ht="28.35" hidden="false" customHeight="false" outlineLevel="0" collapsed="false">
      <c r="A7" s="14" t="s">
        <v>57</v>
      </c>
      <c r="B7" s="12" t="s">
        <v>58</v>
      </c>
      <c r="C7" s="12" t="s">
        <v>59</v>
      </c>
      <c r="D7" s="15" t="s">
        <v>60</v>
      </c>
      <c r="E7" s="16" t="s">
        <v>56</v>
      </c>
      <c r="F7" s="10" t="s">
        <v>33</v>
      </c>
      <c r="G7" s="13" t="s">
        <v>51</v>
      </c>
      <c r="H7" s="12"/>
      <c r="I7" s="13" t="s">
        <v>35</v>
      </c>
      <c r="J7" s="13"/>
      <c r="K7" s="12"/>
      <c r="L7" s="12"/>
    </row>
    <row r="8" customFormat="false" ht="22.35" hidden="false" customHeight="false" outlineLevel="0" collapsed="false">
      <c r="A8" s="6" t="s">
        <v>61</v>
      </c>
      <c r="B8" s="7" t="s">
        <v>62</v>
      </c>
      <c r="C8" s="7" t="s">
        <v>63</v>
      </c>
      <c r="D8" s="8" t="s">
        <v>64</v>
      </c>
      <c r="E8" s="9" t="s">
        <v>65</v>
      </c>
      <c r="F8" s="17" t="s">
        <v>50</v>
      </c>
      <c r="G8" s="11" t="s">
        <v>66</v>
      </c>
      <c r="H8" s="12"/>
      <c r="I8" s="13" t="s">
        <v>35</v>
      </c>
      <c r="J8" s="13"/>
      <c r="K8" s="12"/>
      <c r="L8" s="12"/>
    </row>
    <row r="9" customFormat="false" ht="19.4" hidden="false" customHeight="false" outlineLevel="0" collapsed="false">
      <c r="A9" s="14" t="s">
        <v>67</v>
      </c>
      <c r="B9" s="12" t="s">
        <v>58</v>
      </c>
      <c r="C9" s="12" t="s">
        <v>68</v>
      </c>
      <c r="D9" s="15" t="s">
        <v>69</v>
      </c>
      <c r="E9" s="16" t="s">
        <v>56</v>
      </c>
      <c r="F9" s="17" t="s">
        <v>50</v>
      </c>
      <c r="G9" s="13" t="s">
        <v>51</v>
      </c>
      <c r="H9" s="12"/>
      <c r="I9" s="13" t="s">
        <v>35</v>
      </c>
      <c r="J9" s="13"/>
      <c r="K9" s="12"/>
      <c r="L9" s="12"/>
    </row>
    <row r="10" customFormat="false" ht="22.35" hidden="false" customHeight="false" outlineLevel="0" collapsed="false">
      <c r="A10" s="6" t="s">
        <v>70</v>
      </c>
      <c r="B10" s="7" t="s">
        <v>71</v>
      </c>
      <c r="C10" s="7" t="s">
        <v>72</v>
      </c>
      <c r="D10" s="8" t="s">
        <v>73</v>
      </c>
      <c r="E10" s="9" t="s">
        <v>74</v>
      </c>
      <c r="F10" s="17" t="s">
        <v>50</v>
      </c>
      <c r="G10" s="11" t="s">
        <v>75</v>
      </c>
      <c r="H10" s="12"/>
      <c r="I10" s="13" t="s">
        <v>35</v>
      </c>
      <c r="J10" s="13"/>
      <c r="K10" s="12"/>
      <c r="L10" s="12"/>
    </row>
    <row r="11" customFormat="false" ht="28.35" hidden="false" customHeight="false" outlineLevel="0" collapsed="false">
      <c r="A11" s="14" t="s">
        <v>76</v>
      </c>
      <c r="B11" s="12" t="s">
        <v>77</v>
      </c>
      <c r="C11" s="12" t="s">
        <v>78</v>
      </c>
      <c r="D11" s="15" t="s">
        <v>79</v>
      </c>
      <c r="E11" s="16" t="s">
        <v>80</v>
      </c>
      <c r="F11" s="10" t="s">
        <v>33</v>
      </c>
      <c r="G11" s="13" t="s">
        <v>40</v>
      </c>
      <c r="H11" s="12"/>
      <c r="I11" s="13" t="s">
        <v>35</v>
      </c>
      <c r="J11" s="13"/>
      <c r="K11" s="12"/>
      <c r="L11" s="12"/>
    </row>
    <row r="12" customFormat="false" ht="22.35" hidden="false" customHeight="false" outlineLevel="0" collapsed="false">
      <c r="A12" s="6" t="s">
        <v>81</v>
      </c>
      <c r="B12" s="7" t="s">
        <v>82</v>
      </c>
      <c r="C12" s="7" t="s">
        <v>83</v>
      </c>
      <c r="D12" s="8" t="s">
        <v>84</v>
      </c>
      <c r="E12" s="9" t="s">
        <v>85</v>
      </c>
      <c r="F12" s="10" t="s">
        <v>33</v>
      </c>
      <c r="G12" s="11" t="s">
        <v>40</v>
      </c>
      <c r="H12" s="12"/>
      <c r="I12" s="13" t="s">
        <v>35</v>
      </c>
      <c r="J12" s="13"/>
      <c r="K12" s="12"/>
      <c r="L12" s="12"/>
    </row>
    <row r="13" customFormat="false" ht="22.35" hidden="false" customHeight="false" outlineLevel="0" collapsed="false">
      <c r="A13" s="14" t="s">
        <v>86</v>
      </c>
      <c r="B13" s="12" t="s">
        <v>87</v>
      </c>
      <c r="C13" s="12" t="s">
        <v>88</v>
      </c>
      <c r="D13" s="15" t="s">
        <v>89</v>
      </c>
      <c r="E13" s="16" t="s">
        <v>80</v>
      </c>
      <c r="F13" s="10" t="s">
        <v>33</v>
      </c>
      <c r="G13" s="13" t="s">
        <v>40</v>
      </c>
      <c r="H13" s="12"/>
      <c r="I13" s="13" t="s">
        <v>35</v>
      </c>
      <c r="J13" s="13"/>
      <c r="K13" s="12"/>
      <c r="L13" s="12"/>
    </row>
    <row r="14" customFormat="false" ht="22.35" hidden="false" customHeight="false" outlineLevel="0" collapsed="false">
      <c r="A14" s="6" t="s">
        <v>90</v>
      </c>
      <c r="B14" s="7" t="s">
        <v>82</v>
      </c>
      <c r="C14" s="7" t="s">
        <v>91</v>
      </c>
      <c r="D14" s="8" t="s">
        <v>92</v>
      </c>
      <c r="E14" s="9" t="s">
        <v>85</v>
      </c>
      <c r="F14" s="17" t="s">
        <v>50</v>
      </c>
      <c r="G14" s="11" t="s">
        <v>40</v>
      </c>
      <c r="H14" s="12"/>
      <c r="I14" s="13" t="s">
        <v>35</v>
      </c>
      <c r="J14" s="13"/>
      <c r="K14" s="12"/>
      <c r="L14" s="12"/>
    </row>
    <row r="15" customFormat="false" ht="22.35" hidden="false" customHeight="false" outlineLevel="0" collapsed="false">
      <c r="A15" s="14" t="s">
        <v>93</v>
      </c>
      <c r="B15" s="12" t="s">
        <v>87</v>
      </c>
      <c r="C15" s="12" t="s">
        <v>94</v>
      </c>
      <c r="D15" s="15" t="s">
        <v>95</v>
      </c>
      <c r="E15" s="16" t="s">
        <v>96</v>
      </c>
      <c r="F15" s="17" t="s">
        <v>50</v>
      </c>
      <c r="G15" s="13" t="s">
        <v>51</v>
      </c>
      <c r="H15" s="12"/>
      <c r="I15" s="13" t="s">
        <v>35</v>
      </c>
      <c r="J15" s="13"/>
      <c r="K15" s="12"/>
      <c r="L15" s="12"/>
    </row>
    <row r="16" customFormat="false" ht="22.35" hidden="false" customHeight="false" outlineLevel="0" collapsed="false">
      <c r="A16" s="6" t="s">
        <v>97</v>
      </c>
      <c r="B16" s="7" t="s">
        <v>87</v>
      </c>
      <c r="C16" s="7" t="s">
        <v>98</v>
      </c>
      <c r="D16" s="8" t="s">
        <v>99</v>
      </c>
      <c r="E16" s="9" t="s">
        <v>96</v>
      </c>
      <c r="F16" s="17" t="s">
        <v>50</v>
      </c>
      <c r="G16" s="11" t="s">
        <v>51</v>
      </c>
      <c r="H16" s="12"/>
      <c r="I16" s="13" t="s">
        <v>35</v>
      </c>
      <c r="J16" s="13"/>
      <c r="K16" s="12"/>
      <c r="L16" s="12"/>
    </row>
    <row r="17" customFormat="false" ht="28.35" hidden="false" customHeight="false" outlineLevel="0" collapsed="false">
      <c r="A17" s="14" t="s">
        <v>100</v>
      </c>
      <c r="B17" s="12" t="s">
        <v>58</v>
      </c>
      <c r="C17" s="12" t="s">
        <v>101</v>
      </c>
      <c r="D17" s="15" t="s">
        <v>102</v>
      </c>
      <c r="E17" s="16" t="s">
        <v>96</v>
      </c>
      <c r="F17" s="17" t="s">
        <v>50</v>
      </c>
      <c r="G17" s="13" t="s">
        <v>103</v>
      </c>
      <c r="H17" s="12"/>
      <c r="I17" s="13" t="s">
        <v>35</v>
      </c>
      <c r="J17" s="13"/>
      <c r="K17" s="12"/>
      <c r="L17" s="12"/>
    </row>
    <row r="18" customFormat="false" ht="22.35" hidden="false" customHeight="false" outlineLevel="0" collapsed="false">
      <c r="A18" s="6" t="s">
        <v>104</v>
      </c>
      <c r="B18" s="7" t="s">
        <v>87</v>
      </c>
      <c r="C18" s="7" t="s">
        <v>105</v>
      </c>
      <c r="D18" s="8" t="s">
        <v>106</v>
      </c>
      <c r="E18" s="9" t="s">
        <v>96</v>
      </c>
      <c r="F18" s="17" t="s">
        <v>50</v>
      </c>
      <c r="G18" s="11" t="s">
        <v>51</v>
      </c>
      <c r="H18" s="12"/>
      <c r="I18" s="13" t="s">
        <v>35</v>
      </c>
      <c r="J18" s="13"/>
      <c r="K18" s="12"/>
      <c r="L18" s="12"/>
    </row>
    <row r="19" customFormat="false" ht="22.35" hidden="false" customHeight="false" outlineLevel="0" collapsed="false">
      <c r="A19" s="14" t="s">
        <v>107</v>
      </c>
      <c r="B19" s="12" t="s">
        <v>87</v>
      </c>
      <c r="C19" s="12" t="s">
        <v>108</v>
      </c>
      <c r="D19" s="15" t="s">
        <v>109</v>
      </c>
      <c r="E19" s="16" t="s">
        <v>96</v>
      </c>
      <c r="F19" s="17" t="s">
        <v>50</v>
      </c>
      <c r="G19" s="13" t="s">
        <v>51</v>
      </c>
      <c r="H19" s="12"/>
      <c r="I19" s="13" t="s">
        <v>35</v>
      </c>
      <c r="J19" s="13"/>
      <c r="K19" s="12"/>
      <c r="L19" s="12"/>
    </row>
    <row r="20" customFormat="false" ht="19.4" hidden="false" customHeight="false" outlineLevel="0" collapsed="false">
      <c r="A20" s="6" t="s">
        <v>110</v>
      </c>
      <c r="B20" s="7" t="s">
        <v>87</v>
      </c>
      <c r="C20" s="7" t="s">
        <v>111</v>
      </c>
      <c r="D20" s="8" t="s">
        <v>112</v>
      </c>
      <c r="E20" s="9" t="s">
        <v>96</v>
      </c>
      <c r="F20" s="18" t="s">
        <v>113</v>
      </c>
      <c r="G20" s="11" t="s">
        <v>51</v>
      </c>
      <c r="H20" s="12"/>
      <c r="I20" s="13" t="s">
        <v>35</v>
      </c>
      <c r="J20" s="13"/>
      <c r="K20" s="12"/>
      <c r="L20" s="12"/>
    </row>
    <row r="21" customFormat="false" ht="22.35" hidden="false" customHeight="false" outlineLevel="0" collapsed="false">
      <c r="A21" s="14" t="s">
        <v>114</v>
      </c>
      <c r="B21" s="12" t="s">
        <v>87</v>
      </c>
      <c r="C21" s="12" t="s">
        <v>115</v>
      </c>
      <c r="D21" s="15" t="s">
        <v>116</v>
      </c>
      <c r="E21" s="16" t="s">
        <v>96</v>
      </c>
      <c r="F21" s="18" t="s">
        <v>113</v>
      </c>
      <c r="G21" s="13" t="s">
        <v>51</v>
      </c>
      <c r="H21" s="12"/>
      <c r="I21" s="13" t="s">
        <v>35</v>
      </c>
      <c r="J21" s="13"/>
      <c r="K21" s="12"/>
      <c r="L21" s="12"/>
    </row>
    <row r="22" customFormat="false" ht="22.35" hidden="false" customHeight="false" outlineLevel="0" collapsed="false">
      <c r="A22" s="6" t="s">
        <v>117</v>
      </c>
      <c r="B22" s="7" t="s">
        <v>118</v>
      </c>
      <c r="C22" s="7" t="s">
        <v>119</v>
      </c>
      <c r="D22" s="8" t="s">
        <v>120</v>
      </c>
      <c r="E22" s="9" t="s">
        <v>96</v>
      </c>
      <c r="F22" s="18" t="s">
        <v>113</v>
      </c>
      <c r="G22" s="11" t="s">
        <v>51</v>
      </c>
      <c r="H22" s="12"/>
      <c r="I22" s="13" t="s">
        <v>35</v>
      </c>
      <c r="J22" s="13"/>
      <c r="K22" s="12"/>
      <c r="L22" s="12"/>
    </row>
    <row r="23" customFormat="false" ht="19.4" hidden="false" customHeight="false" outlineLevel="0" collapsed="false">
      <c r="A23" s="14" t="s">
        <v>121</v>
      </c>
      <c r="B23" s="12" t="s">
        <v>58</v>
      </c>
      <c r="C23" s="12" t="s">
        <v>122</v>
      </c>
      <c r="D23" s="15" t="s">
        <v>123</v>
      </c>
      <c r="E23" s="16" t="s">
        <v>124</v>
      </c>
      <c r="F23" s="17" t="s">
        <v>50</v>
      </c>
      <c r="G23" s="13" t="s">
        <v>75</v>
      </c>
      <c r="H23" s="12"/>
      <c r="I23" s="13" t="s">
        <v>35</v>
      </c>
      <c r="J23" s="13"/>
      <c r="K23" s="12"/>
      <c r="L23" s="12"/>
    </row>
    <row r="24" customFormat="false" ht="19.4" hidden="false" customHeight="false" outlineLevel="0" collapsed="false">
      <c r="A24" s="6" t="s">
        <v>125</v>
      </c>
      <c r="B24" s="7" t="s">
        <v>71</v>
      </c>
      <c r="C24" s="7" t="s">
        <v>126</v>
      </c>
      <c r="D24" s="8" t="s">
        <v>127</v>
      </c>
      <c r="E24" s="9" t="s">
        <v>124</v>
      </c>
      <c r="F24" s="17" t="s">
        <v>50</v>
      </c>
      <c r="G24" s="11" t="s">
        <v>51</v>
      </c>
      <c r="H24" s="12"/>
      <c r="I24" s="13" t="s">
        <v>35</v>
      </c>
      <c r="J24" s="13"/>
      <c r="K24" s="12"/>
      <c r="L24" s="12"/>
    </row>
    <row r="25" customFormat="false" ht="22.35" hidden="false" customHeight="false" outlineLevel="0" collapsed="false">
      <c r="A25" s="14" t="s">
        <v>128</v>
      </c>
      <c r="B25" s="12" t="s">
        <v>46</v>
      </c>
      <c r="C25" s="12" t="s">
        <v>129</v>
      </c>
      <c r="D25" s="15" t="s">
        <v>130</v>
      </c>
      <c r="E25" s="16" t="s">
        <v>49</v>
      </c>
      <c r="F25" s="17" t="s">
        <v>50</v>
      </c>
      <c r="G25" s="13" t="s">
        <v>75</v>
      </c>
      <c r="H25" s="12"/>
      <c r="I25" s="13" t="s">
        <v>35</v>
      </c>
      <c r="J25" s="13"/>
      <c r="K25" s="12"/>
      <c r="L25" s="12"/>
    </row>
    <row r="26" customFormat="false" ht="22.35" hidden="false" customHeight="false" outlineLevel="0" collapsed="false">
      <c r="A26" s="6" t="s">
        <v>131</v>
      </c>
      <c r="B26" s="7" t="s">
        <v>132</v>
      </c>
      <c r="C26" s="7" t="s">
        <v>133</v>
      </c>
      <c r="D26" s="8" t="s">
        <v>134</v>
      </c>
      <c r="E26" s="9" t="s">
        <v>124</v>
      </c>
      <c r="F26" s="10" t="s">
        <v>33</v>
      </c>
      <c r="G26" s="11" t="s">
        <v>51</v>
      </c>
      <c r="H26" s="12"/>
      <c r="I26" s="13" t="s">
        <v>35</v>
      </c>
      <c r="J26" s="13"/>
      <c r="K26" s="12"/>
      <c r="L26" s="12"/>
    </row>
    <row r="27" customFormat="false" ht="15" hidden="false" customHeight="false" outlineLevel="0" collapsed="false">
      <c r="A27" s="14" t="s">
        <v>135</v>
      </c>
      <c r="B27" s="12" t="s">
        <v>58</v>
      </c>
      <c r="C27" s="12" t="s">
        <v>136</v>
      </c>
      <c r="D27" s="15" t="s">
        <v>137</v>
      </c>
      <c r="E27" s="16" t="s">
        <v>124</v>
      </c>
      <c r="F27" s="18" t="s">
        <v>113</v>
      </c>
      <c r="G27" s="13" t="s">
        <v>138</v>
      </c>
      <c r="H27" s="12"/>
      <c r="I27" s="13" t="s">
        <v>35</v>
      </c>
      <c r="J27" s="13"/>
      <c r="K27" s="12"/>
      <c r="L27" s="12"/>
    </row>
    <row r="28" customFormat="false" ht="22.35" hidden="false" customHeight="false" outlineLevel="0" collapsed="false">
      <c r="A28" s="6" t="s">
        <v>139</v>
      </c>
      <c r="B28" s="7" t="s">
        <v>46</v>
      </c>
      <c r="C28" s="7" t="s">
        <v>140</v>
      </c>
      <c r="D28" s="8" t="s">
        <v>141</v>
      </c>
      <c r="E28" s="9" t="s">
        <v>49</v>
      </c>
      <c r="F28" s="18" t="s">
        <v>113</v>
      </c>
      <c r="G28" s="11" t="s">
        <v>51</v>
      </c>
      <c r="H28" s="12"/>
      <c r="I28" s="13" t="s">
        <v>35</v>
      </c>
      <c r="J28" s="13"/>
      <c r="K28" s="12"/>
      <c r="L28" s="12"/>
    </row>
    <row r="29" customFormat="false" ht="22.35" hidden="false" customHeight="false" outlineLevel="0" collapsed="false">
      <c r="A29" s="14" t="s">
        <v>142</v>
      </c>
      <c r="B29" s="12" t="s">
        <v>143</v>
      </c>
      <c r="C29" s="12" t="s">
        <v>144</v>
      </c>
      <c r="D29" s="15" t="s">
        <v>145</v>
      </c>
      <c r="E29" s="16" t="s">
        <v>32</v>
      </c>
      <c r="F29" s="18" t="s">
        <v>113</v>
      </c>
      <c r="G29" s="13" t="s">
        <v>51</v>
      </c>
      <c r="H29" s="12"/>
      <c r="I29" s="13" t="s">
        <v>35</v>
      </c>
      <c r="J29" s="13"/>
      <c r="K29" s="12"/>
      <c r="L29" s="12"/>
    </row>
    <row r="30" customFormat="false" ht="19.4" hidden="false" customHeight="false" outlineLevel="0" collapsed="false">
      <c r="A30" s="6" t="s">
        <v>146</v>
      </c>
      <c r="B30" s="7" t="s">
        <v>58</v>
      </c>
      <c r="C30" s="7" t="s">
        <v>147</v>
      </c>
      <c r="D30" s="8" t="s">
        <v>148</v>
      </c>
      <c r="E30" s="9" t="s">
        <v>149</v>
      </c>
      <c r="F30" s="18" t="s">
        <v>113</v>
      </c>
      <c r="G30" s="11" t="s">
        <v>51</v>
      </c>
      <c r="H30" s="12"/>
      <c r="I30" s="13" t="s">
        <v>35</v>
      </c>
      <c r="J30" s="13"/>
      <c r="K30" s="12"/>
      <c r="L30" s="12"/>
    </row>
    <row r="31" customFormat="false" ht="22.35" hidden="false" customHeight="false" outlineLevel="0" collapsed="false">
      <c r="A31" s="14" t="s">
        <v>150</v>
      </c>
      <c r="B31" s="12" t="s">
        <v>62</v>
      </c>
      <c r="C31" s="12" t="s">
        <v>151</v>
      </c>
      <c r="D31" s="15" t="s">
        <v>152</v>
      </c>
      <c r="E31" s="16" t="s">
        <v>153</v>
      </c>
      <c r="F31" s="18" t="s">
        <v>113</v>
      </c>
      <c r="G31" s="13" t="s">
        <v>154</v>
      </c>
      <c r="H31" s="12"/>
      <c r="I31" s="13" t="s">
        <v>35</v>
      </c>
      <c r="J31" s="13"/>
      <c r="K31" s="12"/>
      <c r="L31" s="12"/>
    </row>
    <row r="32" customFormat="false" ht="22.35" hidden="false" customHeight="false" outlineLevel="0" collapsed="false">
      <c r="A32" s="6" t="s">
        <v>155</v>
      </c>
      <c r="B32" s="7" t="s">
        <v>62</v>
      </c>
      <c r="C32" s="7" t="s">
        <v>156</v>
      </c>
      <c r="D32" s="8" t="s">
        <v>157</v>
      </c>
      <c r="E32" s="9" t="s">
        <v>158</v>
      </c>
      <c r="F32" s="17" t="s">
        <v>50</v>
      </c>
      <c r="G32" s="11" t="s">
        <v>159</v>
      </c>
      <c r="H32" s="12"/>
      <c r="I32" s="13" t="s">
        <v>35</v>
      </c>
      <c r="J32" s="13"/>
      <c r="K32" s="12"/>
      <c r="L32" s="12"/>
    </row>
    <row r="33" customFormat="false" ht="19.4" hidden="false" customHeight="false" outlineLevel="0" collapsed="false">
      <c r="A33" s="14" t="s">
        <v>160</v>
      </c>
      <c r="B33" s="12" t="s">
        <v>161</v>
      </c>
      <c r="C33" s="12" t="s">
        <v>162</v>
      </c>
      <c r="D33" s="15" t="s">
        <v>163</v>
      </c>
      <c r="E33" s="16" t="s">
        <v>164</v>
      </c>
      <c r="F33" s="17" t="s">
        <v>50</v>
      </c>
      <c r="G33" s="13" t="s">
        <v>159</v>
      </c>
      <c r="H33" s="12"/>
      <c r="I33" s="13" t="s">
        <v>35</v>
      </c>
      <c r="J33" s="13"/>
      <c r="K33" s="12"/>
      <c r="L33" s="12"/>
    </row>
    <row r="34" customFormat="false" ht="22.35" hidden="false" customHeight="false" outlineLevel="0" collapsed="false">
      <c r="A34" s="6" t="s">
        <v>165</v>
      </c>
      <c r="B34" s="7" t="s">
        <v>161</v>
      </c>
      <c r="C34" s="7" t="s">
        <v>166</v>
      </c>
      <c r="D34" s="8" t="s">
        <v>167</v>
      </c>
      <c r="E34" s="9" t="s">
        <v>168</v>
      </c>
      <c r="F34" s="17" t="s">
        <v>50</v>
      </c>
      <c r="G34" s="11" t="s">
        <v>159</v>
      </c>
      <c r="H34" s="12"/>
      <c r="I34" s="13" t="s">
        <v>35</v>
      </c>
      <c r="J34" s="13"/>
      <c r="K34" s="12"/>
      <c r="L34" s="12"/>
    </row>
    <row r="35" customFormat="false" ht="19.4" hidden="false" customHeight="false" outlineLevel="0" collapsed="false">
      <c r="A35" s="14" t="s">
        <v>169</v>
      </c>
      <c r="B35" s="12" t="s">
        <v>170</v>
      </c>
      <c r="C35" s="12" t="s">
        <v>171</v>
      </c>
      <c r="D35" s="15" t="s">
        <v>172</v>
      </c>
      <c r="E35" s="16" t="s">
        <v>173</v>
      </c>
      <c r="F35" s="10" t="s">
        <v>33</v>
      </c>
      <c r="G35" s="13" t="s">
        <v>174</v>
      </c>
      <c r="H35" s="12"/>
      <c r="I35" s="13" t="s">
        <v>35</v>
      </c>
      <c r="J35" s="13"/>
      <c r="K35" s="12"/>
      <c r="L35" s="12"/>
    </row>
    <row r="36" customFormat="false" ht="19.4" hidden="false" customHeight="false" outlineLevel="0" collapsed="false">
      <c r="A36" s="6" t="s">
        <v>175</v>
      </c>
      <c r="B36" s="7" t="s">
        <v>170</v>
      </c>
      <c r="C36" s="7" t="s">
        <v>176</v>
      </c>
      <c r="D36" s="8" t="s">
        <v>177</v>
      </c>
      <c r="E36" s="9" t="s">
        <v>173</v>
      </c>
      <c r="F36" s="18" t="s">
        <v>113</v>
      </c>
      <c r="G36" s="11" t="s">
        <v>178</v>
      </c>
      <c r="H36" s="12"/>
      <c r="I36" s="13" t="s">
        <v>35</v>
      </c>
      <c r="J36" s="13"/>
      <c r="K36" s="12"/>
      <c r="L36" s="12"/>
    </row>
    <row r="37" customFormat="false" ht="22.35" hidden="false" customHeight="false" outlineLevel="0" collapsed="false">
      <c r="A37" s="14" t="s">
        <v>179</v>
      </c>
      <c r="B37" s="12" t="s">
        <v>170</v>
      </c>
      <c r="C37" s="12" t="s">
        <v>180</v>
      </c>
      <c r="D37" s="15" t="s">
        <v>181</v>
      </c>
      <c r="E37" s="16" t="s">
        <v>182</v>
      </c>
      <c r="F37" s="17" t="s">
        <v>50</v>
      </c>
      <c r="G37" s="13" t="s">
        <v>154</v>
      </c>
      <c r="H37" s="12"/>
      <c r="I37" s="13" t="s">
        <v>35</v>
      </c>
      <c r="J37" s="13"/>
      <c r="K37" s="12"/>
      <c r="L37" s="12"/>
    </row>
    <row r="38" customFormat="false" ht="19.4" hidden="false" customHeight="false" outlineLevel="0" collapsed="false">
      <c r="A38" s="6" t="s">
        <v>183</v>
      </c>
      <c r="B38" s="7" t="s">
        <v>170</v>
      </c>
      <c r="C38" s="7" t="s">
        <v>184</v>
      </c>
      <c r="D38" s="8" t="s">
        <v>185</v>
      </c>
      <c r="E38" s="9" t="s">
        <v>164</v>
      </c>
      <c r="F38" s="17" t="s">
        <v>50</v>
      </c>
      <c r="G38" s="11" t="s">
        <v>154</v>
      </c>
      <c r="H38" s="12"/>
      <c r="I38" s="13" t="s">
        <v>35</v>
      </c>
      <c r="J38" s="13"/>
      <c r="K38" s="12"/>
      <c r="L38" s="12"/>
    </row>
    <row r="39" customFormat="false" ht="19.4" hidden="false" customHeight="false" outlineLevel="0" collapsed="false">
      <c r="A39" s="14" t="s">
        <v>186</v>
      </c>
      <c r="B39" s="12" t="s">
        <v>62</v>
      </c>
      <c r="C39" s="12" t="s">
        <v>187</v>
      </c>
      <c r="D39" s="15" t="s">
        <v>188</v>
      </c>
      <c r="E39" s="16" t="s">
        <v>189</v>
      </c>
      <c r="F39" s="18" t="s">
        <v>113</v>
      </c>
      <c r="G39" s="13" t="s">
        <v>190</v>
      </c>
      <c r="H39" s="12"/>
      <c r="I39" s="13" t="s">
        <v>35</v>
      </c>
      <c r="J39" s="13"/>
      <c r="K39" s="12"/>
      <c r="L39" s="12"/>
    </row>
    <row r="40" customFormat="false" ht="19.4" hidden="false" customHeight="false" outlineLevel="0" collapsed="false">
      <c r="A40" s="6" t="s">
        <v>191</v>
      </c>
      <c r="B40" s="7" t="s">
        <v>62</v>
      </c>
      <c r="C40" s="7" t="s">
        <v>192</v>
      </c>
      <c r="D40" s="8" t="s">
        <v>193</v>
      </c>
      <c r="E40" s="9" t="s">
        <v>189</v>
      </c>
      <c r="F40" s="18" t="s">
        <v>113</v>
      </c>
      <c r="G40" s="11" t="s">
        <v>190</v>
      </c>
      <c r="H40" s="12"/>
      <c r="I40" s="13" t="s">
        <v>35</v>
      </c>
      <c r="J40" s="13"/>
      <c r="K40" s="12"/>
      <c r="L40" s="12"/>
    </row>
    <row r="41" customFormat="false" ht="19.4" hidden="false" customHeight="false" outlineLevel="0" collapsed="false">
      <c r="A41" s="14" t="s">
        <v>194</v>
      </c>
      <c r="B41" s="12" t="s">
        <v>62</v>
      </c>
      <c r="C41" s="12" t="s">
        <v>195</v>
      </c>
      <c r="D41" s="15" t="s">
        <v>196</v>
      </c>
      <c r="E41" s="16" t="s">
        <v>173</v>
      </c>
      <c r="F41" s="18" t="s">
        <v>113</v>
      </c>
      <c r="G41" s="13" t="s">
        <v>197</v>
      </c>
      <c r="H41" s="12"/>
      <c r="I41" s="13" t="s">
        <v>35</v>
      </c>
      <c r="J41" s="13"/>
      <c r="K41" s="12"/>
      <c r="L41" s="12"/>
    </row>
    <row r="42" customFormat="false" ht="19.4" hidden="false" customHeight="false" outlineLevel="0" collapsed="false">
      <c r="A42" s="6" t="s">
        <v>198</v>
      </c>
      <c r="B42" s="7" t="s">
        <v>62</v>
      </c>
      <c r="C42" s="7" t="s">
        <v>199</v>
      </c>
      <c r="D42" s="8" t="s">
        <v>200</v>
      </c>
      <c r="E42" s="9" t="s">
        <v>173</v>
      </c>
      <c r="F42" s="18" t="s">
        <v>113</v>
      </c>
      <c r="G42" s="11" t="s">
        <v>201</v>
      </c>
      <c r="H42" s="12"/>
      <c r="I42" s="13" t="s">
        <v>35</v>
      </c>
      <c r="J42" s="13"/>
      <c r="K42" s="12"/>
      <c r="L42" s="12"/>
    </row>
    <row r="43" customFormat="false" ht="19.4" hidden="false" customHeight="false" outlineLevel="0" collapsed="false">
      <c r="A43" s="14" t="s">
        <v>202</v>
      </c>
      <c r="B43" s="12" t="s">
        <v>62</v>
      </c>
      <c r="C43" s="12" t="s">
        <v>203</v>
      </c>
      <c r="D43" s="15" t="s">
        <v>204</v>
      </c>
      <c r="E43" s="16" t="s">
        <v>205</v>
      </c>
      <c r="F43" s="17" t="s">
        <v>50</v>
      </c>
      <c r="G43" s="13" t="s">
        <v>154</v>
      </c>
      <c r="H43" s="12"/>
      <c r="I43" s="13" t="s">
        <v>35</v>
      </c>
      <c r="J43" s="13"/>
      <c r="K43" s="12"/>
      <c r="L43" s="12"/>
    </row>
    <row r="44" customFormat="false" ht="15" hidden="false" customHeight="false" outlineLevel="0" collapsed="false">
      <c r="A44" s="6" t="s">
        <v>206</v>
      </c>
      <c r="B44" s="7" t="s">
        <v>62</v>
      </c>
      <c r="C44" s="7" t="s">
        <v>207</v>
      </c>
      <c r="D44" s="8" t="s">
        <v>208</v>
      </c>
      <c r="E44" s="9" t="s">
        <v>209</v>
      </c>
      <c r="F44" s="18" t="s">
        <v>113</v>
      </c>
      <c r="G44" s="11" t="s">
        <v>210</v>
      </c>
      <c r="H44" s="12"/>
      <c r="I44" s="13" t="s">
        <v>35</v>
      </c>
      <c r="J44" s="13"/>
      <c r="K44" s="12"/>
      <c r="L44" s="12"/>
    </row>
    <row r="45" customFormat="false" ht="19.4" hidden="false" customHeight="false" outlineLevel="0" collapsed="false">
      <c r="A45" s="14" t="s">
        <v>211</v>
      </c>
      <c r="B45" s="12" t="s">
        <v>58</v>
      </c>
      <c r="C45" s="12" t="s">
        <v>212</v>
      </c>
      <c r="D45" s="15" t="s">
        <v>213</v>
      </c>
      <c r="E45" s="16" t="s">
        <v>65</v>
      </c>
      <c r="F45" s="18" t="s">
        <v>113</v>
      </c>
      <c r="G45" s="13" t="s">
        <v>51</v>
      </c>
      <c r="H45" s="12"/>
      <c r="I45" s="13" t="s">
        <v>35</v>
      </c>
      <c r="J45" s="13"/>
      <c r="K45" s="12"/>
      <c r="L45" s="12"/>
    </row>
    <row r="46" customFormat="false" ht="19.4" hidden="false" customHeight="false" outlineLevel="0" collapsed="false">
      <c r="A46" s="6" t="s">
        <v>214</v>
      </c>
      <c r="B46" s="7" t="s">
        <v>58</v>
      </c>
      <c r="C46" s="7" t="s">
        <v>215</v>
      </c>
      <c r="D46" s="8" t="s">
        <v>216</v>
      </c>
      <c r="E46" s="9" t="s">
        <v>32</v>
      </c>
      <c r="F46" s="18" t="s">
        <v>113</v>
      </c>
      <c r="G46" s="11" t="s">
        <v>51</v>
      </c>
      <c r="H46" s="12"/>
      <c r="I46" s="13" t="s">
        <v>35</v>
      </c>
      <c r="J46" s="13"/>
      <c r="K46" s="12"/>
      <c r="L46" s="12"/>
    </row>
  </sheetData>
  <dataValidations count="2">
    <dataValidation allowBlank="true" errorStyle="stop" operator="between" showDropDown="false" showErrorMessage="false" showInputMessage="false" sqref="I2:I46" type="list">
      <formula1>"Not Started,Planned,Automated,Passing,Failing,Manual"</formula1>
      <formula2>0</formula2>
    </dataValidation>
    <dataValidation allowBlank="true" errorStyle="stop" operator="between" showDropDown="false" showErrorMessage="false" showInputMessage="false" sqref="F2:F46" type="list">
      <formula1>"Critical,High,Medium"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0"/>
    <col collapsed="false" customWidth="true" hidden="false" outlineLevel="0" max="5" min="3" style="0" width="12"/>
    <col collapsed="false" customWidth="true" hidden="false" outlineLevel="0" max="7" min="6" style="0" width="14"/>
  </cols>
  <sheetData>
    <row r="2" customFormat="false" ht="17.35" hidden="false" customHeight="false" outlineLevel="0" collapsed="false">
      <c r="B2" s="19" t="s">
        <v>217</v>
      </c>
      <c r="C2" s="19"/>
      <c r="D2" s="19"/>
      <c r="E2" s="19"/>
      <c r="F2" s="19"/>
      <c r="G2" s="19"/>
    </row>
    <row r="3" customFormat="false" ht="15" hidden="false" customHeight="false" outlineLevel="0" collapsed="false">
      <c r="B3" s="20" t="s">
        <v>218</v>
      </c>
      <c r="C3" s="20"/>
      <c r="D3" s="20"/>
      <c r="E3" s="20"/>
      <c r="F3" s="20"/>
      <c r="G3" s="20"/>
    </row>
    <row r="5" customFormat="false" ht="15" hidden="false" customHeight="false" outlineLevel="0" collapsed="false">
      <c r="B5" s="21" t="s">
        <v>24</v>
      </c>
      <c r="C5" s="22" t="s">
        <v>219</v>
      </c>
    </row>
    <row r="6" customFormat="false" ht="15" hidden="false" customHeight="false" outlineLevel="0" collapsed="false">
      <c r="B6" s="23" t="s">
        <v>35</v>
      </c>
      <c r="C6" s="24" t="n">
        <f aca="false">COUNTIF('Traceability Matrix'!$I$2:$I$46,"Not Started")</f>
        <v>45</v>
      </c>
    </row>
    <row r="7" customFormat="false" ht="15" hidden="false" customHeight="false" outlineLevel="0" collapsed="false">
      <c r="B7" s="23" t="s">
        <v>220</v>
      </c>
      <c r="C7" s="24" t="n">
        <f aca="false">COUNTIF('Traceability Matrix'!$I$2:$I$46,"Planned")</f>
        <v>0</v>
      </c>
    </row>
    <row r="8" customFormat="false" ht="15" hidden="false" customHeight="false" outlineLevel="0" collapsed="false">
      <c r="B8" s="23" t="s">
        <v>221</v>
      </c>
      <c r="C8" s="24" t="n">
        <f aca="false">COUNTIF('Traceability Matrix'!$I$2:$I$46,"Automated")</f>
        <v>0</v>
      </c>
    </row>
    <row r="9" customFormat="false" ht="15" hidden="false" customHeight="false" outlineLevel="0" collapsed="false">
      <c r="B9" s="23" t="s">
        <v>222</v>
      </c>
      <c r="C9" s="24" t="n">
        <f aca="false">COUNTIF('Traceability Matrix'!$I$2:$I$46,"Passing")</f>
        <v>0</v>
      </c>
    </row>
    <row r="10" customFormat="false" ht="15" hidden="false" customHeight="false" outlineLevel="0" collapsed="false">
      <c r="B10" s="23" t="s">
        <v>223</v>
      </c>
      <c r="C10" s="24" t="n">
        <f aca="false">COUNTIF('Traceability Matrix'!$I$2:$I$46,"Failing")</f>
        <v>0</v>
      </c>
    </row>
    <row r="11" customFormat="false" ht="15" hidden="false" customHeight="false" outlineLevel="0" collapsed="false">
      <c r="B11" s="23" t="s">
        <v>154</v>
      </c>
      <c r="C11" s="24" t="n">
        <f aca="false">COUNTIF('Traceability Matrix'!$I$2:$I$46,"Manual")</f>
        <v>0</v>
      </c>
    </row>
    <row r="12" customFormat="false" ht="15" hidden="false" customHeight="false" outlineLevel="0" collapsed="false">
      <c r="B12" s="25" t="s">
        <v>224</v>
      </c>
      <c r="C12" s="26" t="n">
        <f aca="false">COUNTA('Traceability Matrix'!$A$2:$A$46)</f>
        <v>45</v>
      </c>
    </row>
    <row r="15" customFormat="false" ht="15" hidden="false" customHeight="false" outlineLevel="0" collapsed="false">
      <c r="B15" s="27" t="s">
        <v>225</v>
      </c>
      <c r="C15" s="27"/>
      <c r="D15" s="27"/>
      <c r="E15" s="27"/>
      <c r="F15" s="27"/>
      <c r="G15" s="27"/>
    </row>
    <row r="16" customFormat="false" ht="15" hidden="false" customHeight="false" outlineLevel="0" collapsed="false">
      <c r="B16" s="5" t="s">
        <v>21</v>
      </c>
      <c r="C16" s="28" t="s">
        <v>226</v>
      </c>
      <c r="D16" s="28" t="s">
        <v>227</v>
      </c>
      <c r="E16" s="28" t="s">
        <v>228</v>
      </c>
      <c r="F16" s="28" t="s">
        <v>229</v>
      </c>
    </row>
    <row r="17" customFormat="false" ht="15" hidden="false" customHeight="false" outlineLevel="0" collapsed="false">
      <c r="B17" s="29" t="s">
        <v>33</v>
      </c>
      <c r="C17" s="30" t="n">
        <f aca="false">COUNTIF('Traceability Matrix'!$F$2:$F$46,"Critical")</f>
        <v>10</v>
      </c>
      <c r="D17" s="30" t="n">
        <f aca="false">SUMPRODUCT(('Traceability Matrix'!$F$2:$F$46="Critical")*(ISNUMBER(MATCH('Traceability Matrix'!$I$2:$I$46,{"Passing";"Automated";"Manual"},0))))</f>
        <v>0</v>
      </c>
      <c r="E17" s="30" t="n">
        <f aca="false">C17-D17</f>
        <v>10</v>
      </c>
      <c r="F17" s="31" t="n">
        <f aca="false">IF(C17=0,0,D17/C17)</f>
        <v>0</v>
      </c>
    </row>
    <row r="18" customFormat="false" ht="15" hidden="false" customHeight="false" outlineLevel="0" collapsed="false">
      <c r="B18" s="32" t="s">
        <v>50</v>
      </c>
      <c r="C18" s="30" t="n">
        <f aca="false">COUNTIF('Traceability Matrix'!$F$2:$F$46,"High")</f>
        <v>19</v>
      </c>
      <c r="D18" s="30" t="n">
        <f aca="false">SUMPRODUCT(('Traceability Matrix'!$F$2:$F$46="High")*(ISNUMBER(MATCH('Traceability Matrix'!$I$2:$I$46,{"Passing";"Automated";"Manual"},0))))</f>
        <v>0</v>
      </c>
      <c r="E18" s="30" t="n">
        <f aca="false">C18-D18</f>
        <v>19</v>
      </c>
      <c r="F18" s="31" t="n">
        <f aca="false">IF(C18=0,0,D18/C18)</f>
        <v>0</v>
      </c>
    </row>
    <row r="19" customFormat="false" ht="15" hidden="false" customHeight="false" outlineLevel="0" collapsed="false">
      <c r="B19" s="33" t="s">
        <v>113</v>
      </c>
      <c r="C19" s="30" t="n">
        <f aca="false">COUNTIF('Traceability Matrix'!$F$2:$F$46,"Medium")</f>
        <v>16</v>
      </c>
      <c r="D19" s="30" t="n">
        <f aca="false">SUMPRODUCT(('Traceability Matrix'!$F$2:$F$46="Medium")*(ISNUMBER(MATCH('Traceability Matrix'!$I$2:$I$46,{"Passing";"Automated";"Manual"},0))))</f>
        <v>0</v>
      </c>
      <c r="E19" s="30" t="n">
        <f aca="false">C19-D19</f>
        <v>16</v>
      </c>
      <c r="F19" s="31" t="n">
        <f aca="false">IF(C19=0,0,D19/C19)</f>
        <v>0</v>
      </c>
    </row>
    <row r="21" customFormat="false" ht="15" hidden="false" customHeight="false" outlineLevel="0" collapsed="false">
      <c r="B21" s="34" t="s">
        <v>230</v>
      </c>
      <c r="C21" s="34"/>
      <c r="D21" s="34"/>
      <c r="E21" s="34"/>
      <c r="F21" s="34"/>
      <c r="G21" s="34"/>
    </row>
  </sheetData>
  <mergeCells count="4">
    <mergeCell ref="B2:G2"/>
    <mergeCell ref="B3:G3"/>
    <mergeCell ref="B15:G15"/>
    <mergeCell ref="B21:G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2026-05-31T09:35:19Z</dcterms:created>
  <dc:creator>openpyxl</dc:creator>
  <dc:description/>
  <dc:language>en-US</dc:language>
  <cp:lastModifiedBy/>
  <dcterms:modified xsi:type="dcterms:W3CDTF">2026-05-31T09:35:19Z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